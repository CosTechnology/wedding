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Cosmai\Documents\GitHub\wedding\"/>
    </mc:Choice>
  </mc:AlternateContent>
  <xr:revisionPtr revIDLastSave="0" documentId="8_{74F82E0F-2789-430D-82FD-A70393920B85}" xr6:coauthVersionLast="47" xr6:coauthVersionMax="47" xr10:uidLastSave="{00000000-0000-0000-0000-000000000000}"/>
  <bookViews>
    <workbookView xWindow="-108" yWindow="-108" windowWidth="23256" windowHeight="12456" xr2:uid="{55E07812-8DC2-B840-A298-C633CC2E921B}"/>
  </bookViews>
  <sheets>
    <sheet name="Convidados" sheetId="1" r:id="rId1"/>
    <sheet name="Comidas e Bebidas" sheetId="3" r:id="rId2"/>
    <sheet name="Itens gerai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4" l="1"/>
  <c r="E38" i="4"/>
  <c r="E37" i="4"/>
  <c r="E36" i="4"/>
  <c r="E35" i="4"/>
  <c r="E34" i="4"/>
  <c r="E26" i="4"/>
  <c r="E25" i="4"/>
  <c r="E24" i="4"/>
  <c r="E23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19" i="4" s="1"/>
  <c r="D10" i="3"/>
  <c r="D11" i="3" s="1"/>
  <c r="D31" i="3" s="1"/>
  <c r="D6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9" i="3"/>
  <c r="D8" i="3"/>
  <c r="D7" i="3"/>
  <c r="E53" i="4" l="1"/>
  <c r="E42" i="4"/>
  <c r="E55" i="4" s="1"/>
  <c r="E30" i="4"/>
</calcChain>
</file>

<file path=xl/sharedStrings.xml><?xml version="1.0" encoding="utf-8"?>
<sst xmlns="http://schemas.openxmlformats.org/spreadsheetml/2006/main" count="209" uniqueCount="159">
  <si>
    <t>Convidados Ray</t>
  </si>
  <si>
    <t>Convidados Gabriel</t>
  </si>
  <si>
    <t>Tiago C</t>
  </si>
  <si>
    <t>Amanda C</t>
  </si>
  <si>
    <t>Maria Alice C</t>
  </si>
  <si>
    <t>Eduardo C</t>
  </si>
  <si>
    <t>Ieda C</t>
  </si>
  <si>
    <t>Micael</t>
  </si>
  <si>
    <t>Cadu C</t>
  </si>
  <si>
    <t>Cecilia C</t>
  </si>
  <si>
    <t>Mirian</t>
  </si>
  <si>
    <t>Cintia C</t>
  </si>
  <si>
    <t>Armindo C</t>
  </si>
  <si>
    <t>Gustavo C</t>
  </si>
  <si>
    <t>Guilherme C</t>
  </si>
  <si>
    <t>Patricia C</t>
  </si>
  <si>
    <t>Arminda C</t>
  </si>
  <si>
    <t>Juan</t>
  </si>
  <si>
    <t>Tia Cris C</t>
  </si>
  <si>
    <t>Miguel</t>
  </si>
  <si>
    <t>Ga C</t>
  </si>
  <si>
    <t>Rose C</t>
  </si>
  <si>
    <t>Renan C</t>
  </si>
  <si>
    <t>Julia C</t>
  </si>
  <si>
    <t>Harry</t>
  </si>
  <si>
    <t>Jefferson Cabelin</t>
  </si>
  <si>
    <t>Zenaide</t>
  </si>
  <si>
    <t>Alanys</t>
  </si>
  <si>
    <t>Nicholas</t>
  </si>
  <si>
    <t>Marco</t>
  </si>
  <si>
    <t>Leonardo</t>
  </si>
  <si>
    <t>Feelkz</t>
  </si>
  <si>
    <t>Michelly</t>
  </si>
  <si>
    <t>Mariangela</t>
  </si>
  <si>
    <t>Marcel</t>
  </si>
  <si>
    <t>Maicon</t>
  </si>
  <si>
    <t>Mara</t>
  </si>
  <si>
    <t>Camila</t>
  </si>
  <si>
    <t>Lucas</t>
  </si>
  <si>
    <t>Cesinha Cosmai</t>
  </si>
  <si>
    <t>Cristine Cosmai</t>
  </si>
  <si>
    <t>Lucca Cosmai</t>
  </si>
  <si>
    <t>Anderson</t>
  </si>
  <si>
    <t>Isabelly</t>
  </si>
  <si>
    <t>Tia Marli</t>
  </si>
  <si>
    <t>Davi</t>
  </si>
  <si>
    <t>Aline</t>
  </si>
  <si>
    <t>Apolo</t>
  </si>
  <si>
    <t>Silvia</t>
  </si>
  <si>
    <t>Egidio</t>
  </si>
  <si>
    <t>Amilton</t>
  </si>
  <si>
    <t>Pedro</t>
  </si>
  <si>
    <t>Qtd</t>
  </si>
  <si>
    <t>Coxinha</t>
  </si>
  <si>
    <t>Risoli</t>
  </si>
  <si>
    <t>Bolinho Calabresa</t>
  </si>
  <si>
    <t>Arroz</t>
  </si>
  <si>
    <t>Vinagrete</t>
  </si>
  <si>
    <t>Farofa</t>
  </si>
  <si>
    <t>🎊 CHURRASCO DE CASAMENTO — 80 CONVIDADOS</t>
  </si>
  <si>
    <t>Preços estimados para a região de Mauá/ABC Paulista — Abril 2026</t>
  </si>
  <si>
    <t>🥤  BEBIDAS</t>
  </si>
  <si>
    <t>Item</t>
  </si>
  <si>
    <t>Qtd / Unidade</t>
  </si>
  <si>
    <t>Valor Unit. (R$)</t>
  </si>
  <si>
    <t>Valor Total (R$)</t>
  </si>
  <si>
    <t>Água Mineral 500ml</t>
  </si>
  <si>
    <t>Refrigerante 2L</t>
  </si>
  <si>
    <t>20 garrafas</t>
  </si>
  <si>
    <t>Suco (caixa 1L)</t>
  </si>
  <si>
    <t>15 caixas</t>
  </si>
  <si>
    <t>Cerveja Lata 350ml</t>
  </si>
  <si>
    <t>120 latas</t>
  </si>
  <si>
    <t>Whisky 1L</t>
  </si>
  <si>
    <t>SUBTOTAL BEBIDAS</t>
  </si>
  <si>
    <t>🍖  COMIDAS</t>
  </si>
  <si>
    <t>160 unidades</t>
  </si>
  <si>
    <t>Bolinho de Carne</t>
  </si>
  <si>
    <t>120 unidades</t>
  </si>
  <si>
    <t>Bolinho de Queijo</t>
  </si>
  <si>
    <t>8 kg</t>
  </si>
  <si>
    <t>4 kg</t>
  </si>
  <si>
    <t>Carne Churrasco</t>
  </si>
  <si>
    <t>12 kg</t>
  </si>
  <si>
    <t>Linguiça Churrasco</t>
  </si>
  <si>
    <t>Frango Churrasco</t>
  </si>
  <si>
    <t>10 kg</t>
  </si>
  <si>
    <t>Queijo Churrasco</t>
  </si>
  <si>
    <t>Pão de Alho</t>
  </si>
  <si>
    <t>80 unidades</t>
  </si>
  <si>
    <t>Kafta Churrasco</t>
  </si>
  <si>
    <t>6 kg</t>
  </si>
  <si>
    <t>SUBTOTAL COMIDAS</t>
  </si>
  <si>
    <t>💰  TOTAL GERAL</t>
  </si>
  <si>
    <t>⚠️  Preços estimados com base em supermercados e açougues da região de Mauá/ABC Paulista (Abril 2026). Podem variar.</t>
  </si>
  <si>
    <t>80 garrafas</t>
  </si>
  <si>
    <t>2 garrafas</t>
  </si>
  <si>
    <t>🎊  ITENS DE APOIO — CASAMENTO  |  80 CONVIDADOS</t>
  </si>
  <si>
    <t>Preços estimados — Mauá / ABC Paulista  |  Abril 2026</t>
  </si>
  <si>
    <t>🧻  DESCARTÁVEIS &amp; HIGIENE</t>
  </si>
  <si>
    <t>Unidade</t>
  </si>
  <si>
    <t>Prato descartável fundo (refeição)</t>
  </si>
  <si>
    <t>unid.</t>
  </si>
  <si>
    <t>Prato descartável raso (sobremesa)</t>
  </si>
  <si>
    <t>Copo descartável 300ml (bebidas)</t>
  </si>
  <si>
    <t>Copo descartável 50ml (shot/café)</t>
  </si>
  <si>
    <t>Garfo descartável</t>
  </si>
  <si>
    <t>Faca descartável</t>
  </si>
  <si>
    <t>Colher descartável</t>
  </si>
  <si>
    <t>Guardanapo de papel (pct 50 un)</t>
  </si>
  <si>
    <t>pacotes</t>
  </si>
  <si>
    <t>Papel higiênico folha dupla (rolo)</t>
  </si>
  <si>
    <t>rolos</t>
  </si>
  <si>
    <t>Papel toalha (rolo)</t>
  </si>
  <si>
    <t>Saco de lixo 100L (pct 10 un)</t>
  </si>
  <si>
    <t>Saco de lixo 30L (pct 10 un)</t>
  </si>
  <si>
    <t>Embalagem marmita p/ sobra (pct 10)</t>
  </si>
  <si>
    <t>SUBTOTAL</t>
  </si>
  <si>
    <t>🧼  LIMPEZA &amp; SANITIZAÇÃO</t>
  </si>
  <si>
    <t>Detergente líquido 500ml</t>
  </si>
  <si>
    <t>Esponja de lavar</t>
  </si>
  <si>
    <t>Álcool em gel 500ml</t>
  </si>
  <si>
    <t>Sabonete líquido 250ml</t>
  </si>
  <si>
    <t>🔥  CHURRASCO &amp; COZINHA</t>
  </si>
  <si>
    <t>Carvão vegetal 5kg</t>
  </si>
  <si>
    <t>sacos</t>
  </si>
  <si>
    <t>Sal grosso 1kg</t>
  </si>
  <si>
    <t>kg</t>
  </si>
  <si>
    <t>Palito de dente (caixa)</t>
  </si>
  <si>
    <t>caixas</t>
  </si>
  <si>
    <t>Bandeja descartável alumínio G</t>
  </si>
  <si>
    <t>Tábua de corte plástica G</t>
  </si>
  <si>
    <t>🎈  DECORAÇÃO &amp; ORGANIZAÇÃO</t>
  </si>
  <si>
    <t>Lixeira plástica 20L</t>
  </si>
  <si>
    <t>⚠️  Preços estimados com base em supermercados da região de Mauá/ABC Paulista (Abril 2026). Atualize os valores unitários conforme sua pesquisa.</t>
  </si>
  <si>
    <t>Evellin</t>
  </si>
  <si>
    <t>💍  LISTA DE CONVIDADOS  —  CASAMENTO RAY &amp; GABRIEL</t>
  </si>
  <si>
    <t>Cada grupo de cor representa uma família diferente</t>
  </si>
  <si>
    <t>#</t>
  </si>
  <si>
    <t>Thaylini</t>
  </si>
  <si>
    <t>Denis</t>
  </si>
  <si>
    <t>Cloe</t>
  </si>
  <si>
    <t>Maria Eduarda</t>
  </si>
  <si>
    <t>Suellen</t>
  </si>
  <si>
    <t>Heitor</t>
  </si>
  <si>
    <t>Giovanni</t>
  </si>
  <si>
    <t>Maynara</t>
  </si>
  <si>
    <t>Allan</t>
  </si>
  <si>
    <t>Iris</t>
  </si>
  <si>
    <t>Roseli</t>
  </si>
  <si>
    <t>Mauricio</t>
  </si>
  <si>
    <t>Thaynara</t>
  </si>
  <si>
    <t>Isaac</t>
  </si>
  <si>
    <t>Ana</t>
  </si>
  <si>
    <t>Maria Jose</t>
  </si>
  <si>
    <t>Angela</t>
  </si>
  <si>
    <t>Marcia</t>
  </si>
  <si>
    <t>Alice</t>
  </si>
  <si>
    <t>👥  Total de convidados: 70  (Ray: 35  |  Gabriel: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</si>
</sst>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7" x14ac:knownFonts="1">
    <font>
      <sz val="12"/>
      <color theme="1"/>
      <name val="Calibri"/>
      <family val="2"/>
      <scheme val="minor"/>
    </font>
    <font>
      <b/>
      <sz val="14"/>
      <color rgb="FFD4AF37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rgb="FF0000AA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D4AF37"/>
      <name val="Arial"/>
      <family val="2"/>
    </font>
    <font>
      <b/>
      <sz val="12"/>
      <color rgb="FFFFFFFF"/>
      <name val="Arial"/>
      <family val="2"/>
    </font>
    <font>
      <b/>
      <sz val="13"/>
      <color rgb="FFD4AF37"/>
      <name val="Arial"/>
      <family val="2"/>
    </font>
    <font>
      <i/>
      <sz val="8"/>
      <color rgb="FF888888"/>
      <name val="Arial"/>
      <family val="2"/>
    </font>
    <font>
      <sz val="10"/>
      <color rgb="FF000000"/>
      <name val="Arial"/>
      <family val="2"/>
    </font>
    <font>
      <sz val="9"/>
      <color rgb="FF999999"/>
      <name val="Arial"/>
      <family val="2"/>
    </font>
    <font>
      <b/>
      <sz val="10"/>
      <color rgb="FF7A5500"/>
      <name val="Arial"/>
      <family val="2"/>
    </font>
    <font>
      <b/>
      <sz val="10"/>
      <color rgb="FFC0392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444444"/>
      </patternFill>
    </fill>
    <fill>
      <patternFill patternType="solid">
        <fgColor rgb="FFFFF8E7"/>
      </patternFill>
    </fill>
    <fill>
      <patternFill patternType="solid">
        <fgColor rgb="FFFFFFFF"/>
      </patternFill>
    </fill>
    <fill>
      <patternFill patternType="solid">
        <fgColor rgb="FF555555"/>
      </patternFill>
    </fill>
    <fill>
      <patternFill patternType="solid">
        <fgColor rgb="FFF0F0F0"/>
      </patternFill>
    </fill>
    <fill>
      <patternFill patternType="solid">
        <fgColor rgb="FFFFF0A0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8" fillId="6" borderId="1" xfId="0" applyFont="1" applyFill="1" applyBorder="1" applyAlignment="1">
      <alignment horizontal="right" vertical="center"/>
    </xf>
    <xf numFmtId="0" fontId="0" fillId="0" borderId="1" xfId="0" applyBorder="1"/>
    <xf numFmtId="0" fontId="10" fillId="2" borderId="1" xfId="0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8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C56B-528E-F54C-9F9E-9096527E28D5}">
  <dimension ref="A1:D41"/>
  <sheetViews>
    <sheetView tabSelected="1" workbookViewId="0">
      <selection activeCell="A2" sqref="A2:D2"/>
    </sheetView>
  </sheetViews>
  <sheetFormatPr defaultRowHeight="15.6" x14ac:dyDescent="0.3"/>
  <cols>
    <col min="1" max="1" width="4.5" customWidth="1"/>
    <col min="2" max="2" width="25.19921875" style="27" customWidth="1"/>
    <col min="3" max="3" width="4.5" customWidth="1"/>
    <col min="4" max="4" width="59.296875" style="27" customWidth="1"/>
  </cols>
  <sheetData>
    <row r="1" spans="1:4" ht="17.399999999999999" x14ac:dyDescent="0.3">
      <c r="A1" s="22" t="s">
        <v>136</v>
      </c>
      <c r="B1" s="17"/>
      <c r="C1" s="17"/>
      <c r="D1" s="17"/>
    </row>
    <row r="2" spans="1:4" x14ac:dyDescent="0.3">
      <c r="A2" s="24" t="s">
        <v>137</v>
      </c>
      <c r="B2" s="17"/>
      <c r="C2" s="17"/>
      <c r="D2" s="17"/>
    </row>
    <row r="3" spans="1:4" ht="16.2" thickBot="1" x14ac:dyDescent="0.35"/>
    <row r="4" spans="1:4" ht="16.2" thickBot="1" x14ac:dyDescent="0.35">
      <c r="A4" s="25" t="s">
        <v>138</v>
      </c>
      <c r="B4" s="25" t="s">
        <v>0</v>
      </c>
      <c r="C4" s="25" t="s">
        <v>138</v>
      </c>
      <c r="D4" s="25" t="s">
        <v>1</v>
      </c>
    </row>
    <row r="5" spans="1:4" x14ac:dyDescent="0.3">
      <c r="A5" s="26">
        <v>1</v>
      </c>
      <c r="B5" s="28" t="s">
        <v>139</v>
      </c>
      <c r="C5" s="26">
        <v>1</v>
      </c>
      <c r="D5" s="28" t="s">
        <v>2</v>
      </c>
    </row>
    <row r="6" spans="1:4" x14ac:dyDescent="0.3">
      <c r="A6" s="26">
        <v>2</v>
      </c>
      <c r="B6" s="28" t="s">
        <v>140</v>
      </c>
      <c r="C6" s="26">
        <v>2</v>
      </c>
      <c r="D6" s="28" t="s">
        <v>3</v>
      </c>
    </row>
    <row r="7" spans="1:4" x14ac:dyDescent="0.3">
      <c r="A7" s="26">
        <v>3</v>
      </c>
      <c r="B7" s="28" t="s">
        <v>141</v>
      </c>
      <c r="C7" s="26">
        <v>3</v>
      </c>
      <c r="D7" s="28" t="s">
        <v>4</v>
      </c>
    </row>
    <row r="8" spans="1:4" x14ac:dyDescent="0.3">
      <c r="A8" s="26">
        <v>4</v>
      </c>
      <c r="B8" s="29" t="s">
        <v>7</v>
      </c>
      <c r="C8" s="26">
        <v>4</v>
      </c>
      <c r="D8" s="29" t="s">
        <v>5</v>
      </c>
    </row>
    <row r="9" spans="1:4" x14ac:dyDescent="0.3">
      <c r="A9" s="26">
        <v>5</v>
      </c>
      <c r="B9" s="29" t="s">
        <v>142</v>
      </c>
      <c r="C9" s="26">
        <v>5</v>
      </c>
      <c r="D9" s="29" t="s">
        <v>6</v>
      </c>
    </row>
    <row r="10" spans="1:4" x14ac:dyDescent="0.3">
      <c r="A10" s="26">
        <v>6</v>
      </c>
      <c r="B10" s="29" t="s">
        <v>10</v>
      </c>
      <c r="C10" s="26">
        <v>6</v>
      </c>
      <c r="D10" s="29" t="s">
        <v>8</v>
      </c>
    </row>
    <row r="11" spans="1:4" x14ac:dyDescent="0.3">
      <c r="A11" s="26">
        <v>7</v>
      </c>
      <c r="B11" s="28" t="s">
        <v>143</v>
      </c>
      <c r="C11" s="26">
        <v>7</v>
      </c>
      <c r="D11" s="28" t="s">
        <v>11</v>
      </c>
    </row>
    <row r="12" spans="1:4" x14ac:dyDescent="0.3">
      <c r="A12" s="26">
        <v>8</v>
      </c>
      <c r="B12" s="28" t="s">
        <v>144</v>
      </c>
      <c r="C12" s="26">
        <v>8</v>
      </c>
      <c r="D12" s="28" t="s">
        <v>9</v>
      </c>
    </row>
    <row r="13" spans="1:4" x14ac:dyDescent="0.3">
      <c r="A13" s="26">
        <v>9</v>
      </c>
      <c r="B13" s="28" t="s">
        <v>135</v>
      </c>
      <c r="C13" s="26">
        <v>9</v>
      </c>
      <c r="D13" s="29" t="s">
        <v>12</v>
      </c>
    </row>
    <row r="14" spans="1:4" x14ac:dyDescent="0.3">
      <c r="A14" s="26">
        <v>10</v>
      </c>
      <c r="B14" s="28" t="s">
        <v>145</v>
      </c>
      <c r="C14" s="26">
        <v>10</v>
      </c>
      <c r="D14" s="29" t="s">
        <v>13</v>
      </c>
    </row>
    <row r="15" spans="1:4" x14ac:dyDescent="0.3">
      <c r="A15" s="26">
        <v>11</v>
      </c>
      <c r="B15" s="29" t="s">
        <v>146</v>
      </c>
      <c r="C15" s="26">
        <v>11</v>
      </c>
      <c r="D15" s="28" t="s">
        <v>14</v>
      </c>
    </row>
    <row r="16" spans="1:4" x14ac:dyDescent="0.3">
      <c r="A16" s="26">
        <v>12</v>
      </c>
      <c r="B16" s="29" t="s">
        <v>147</v>
      </c>
      <c r="C16" s="26">
        <v>12</v>
      </c>
      <c r="D16" s="28" t="s">
        <v>15</v>
      </c>
    </row>
    <row r="17" spans="1:4" x14ac:dyDescent="0.3">
      <c r="A17" s="26">
        <v>13</v>
      </c>
      <c r="B17" s="29" t="s">
        <v>148</v>
      </c>
      <c r="C17" s="26">
        <v>13</v>
      </c>
      <c r="D17" s="29" t="s">
        <v>16</v>
      </c>
    </row>
    <row r="18" spans="1:4" x14ac:dyDescent="0.3">
      <c r="A18" s="26">
        <v>14</v>
      </c>
      <c r="B18" s="29" t="s">
        <v>19</v>
      </c>
      <c r="C18" s="26">
        <v>14</v>
      </c>
      <c r="D18" s="29" t="s">
        <v>17</v>
      </c>
    </row>
    <row r="19" spans="1:4" x14ac:dyDescent="0.3">
      <c r="A19" s="26">
        <v>15</v>
      </c>
      <c r="B19" s="28" t="s">
        <v>149</v>
      </c>
      <c r="C19" s="26">
        <v>15</v>
      </c>
      <c r="D19" s="28" t="s">
        <v>18</v>
      </c>
    </row>
    <row r="20" spans="1:4" x14ac:dyDescent="0.3">
      <c r="A20" s="26">
        <v>16</v>
      </c>
      <c r="B20" s="29" t="s">
        <v>150</v>
      </c>
      <c r="C20" s="26">
        <v>16</v>
      </c>
      <c r="D20" s="29" t="s">
        <v>20</v>
      </c>
    </row>
    <row r="21" spans="1:4" x14ac:dyDescent="0.3">
      <c r="A21" s="26">
        <v>17</v>
      </c>
      <c r="B21" s="28" t="s">
        <v>151</v>
      </c>
      <c r="C21" s="26">
        <v>17</v>
      </c>
      <c r="D21" s="29" t="s">
        <v>21</v>
      </c>
    </row>
    <row r="22" spans="1:4" x14ac:dyDescent="0.3">
      <c r="A22" s="26">
        <v>18</v>
      </c>
      <c r="B22" s="28" t="s">
        <v>24</v>
      </c>
      <c r="C22" s="26">
        <v>18</v>
      </c>
      <c r="D22" s="28" t="s">
        <v>22</v>
      </c>
    </row>
    <row r="23" spans="1:4" x14ac:dyDescent="0.3">
      <c r="A23" s="26">
        <v>19</v>
      </c>
      <c r="B23" s="29" t="s">
        <v>152</v>
      </c>
      <c r="C23" s="26">
        <v>19</v>
      </c>
      <c r="D23" s="28" t="s">
        <v>23</v>
      </c>
    </row>
    <row r="24" spans="1:4" x14ac:dyDescent="0.3">
      <c r="A24" s="26">
        <v>20</v>
      </c>
      <c r="B24" s="29" t="s">
        <v>27</v>
      </c>
      <c r="C24" s="26">
        <v>20</v>
      </c>
      <c r="D24" s="29" t="s">
        <v>25</v>
      </c>
    </row>
    <row r="25" spans="1:4" x14ac:dyDescent="0.3">
      <c r="A25" s="26">
        <v>21</v>
      </c>
      <c r="B25" s="28" t="s">
        <v>29</v>
      </c>
      <c r="C25" s="26">
        <v>21</v>
      </c>
      <c r="D25" s="29" t="s">
        <v>26</v>
      </c>
    </row>
    <row r="26" spans="1:4" x14ac:dyDescent="0.3">
      <c r="A26" s="26">
        <v>22</v>
      </c>
      <c r="B26" s="28" t="s">
        <v>153</v>
      </c>
      <c r="C26" s="26">
        <v>22</v>
      </c>
      <c r="D26" s="28" t="s">
        <v>28</v>
      </c>
    </row>
    <row r="27" spans="1:4" x14ac:dyDescent="0.3">
      <c r="A27" s="26">
        <v>23</v>
      </c>
      <c r="B27" s="28" t="s">
        <v>51</v>
      </c>
      <c r="C27" s="26">
        <v>23</v>
      </c>
      <c r="D27" s="29" t="s">
        <v>30</v>
      </c>
    </row>
    <row r="28" spans="1:4" x14ac:dyDescent="0.3">
      <c r="A28" s="26">
        <v>24</v>
      </c>
      <c r="B28" s="29" t="s">
        <v>154</v>
      </c>
      <c r="C28" s="26">
        <v>24</v>
      </c>
      <c r="D28" s="28" t="s">
        <v>31</v>
      </c>
    </row>
    <row r="29" spans="1:4" x14ac:dyDescent="0.3">
      <c r="A29" s="26">
        <v>25</v>
      </c>
      <c r="B29" s="29" t="s">
        <v>35</v>
      </c>
      <c r="C29" s="26">
        <v>25</v>
      </c>
      <c r="D29" s="28" t="s">
        <v>32</v>
      </c>
    </row>
    <row r="30" spans="1:4" x14ac:dyDescent="0.3">
      <c r="A30" s="26">
        <v>26</v>
      </c>
      <c r="B30" s="28" t="s">
        <v>33</v>
      </c>
      <c r="C30" s="26">
        <v>26</v>
      </c>
      <c r="D30" s="29" t="s">
        <v>39</v>
      </c>
    </row>
    <row r="31" spans="1:4" x14ac:dyDescent="0.3">
      <c r="A31" s="26">
        <v>27</v>
      </c>
      <c r="B31" s="28" t="s">
        <v>155</v>
      </c>
      <c r="C31" s="26">
        <v>27</v>
      </c>
      <c r="D31" s="29" t="s">
        <v>40</v>
      </c>
    </row>
    <row r="32" spans="1:4" x14ac:dyDescent="0.3">
      <c r="A32" s="26">
        <v>28</v>
      </c>
      <c r="B32" s="29" t="s">
        <v>156</v>
      </c>
      <c r="C32" s="26">
        <v>28</v>
      </c>
      <c r="D32" s="29" t="s">
        <v>41</v>
      </c>
    </row>
    <row r="33" spans="1:4" x14ac:dyDescent="0.3">
      <c r="A33" s="26">
        <v>29</v>
      </c>
      <c r="B33" s="28" t="s">
        <v>34</v>
      </c>
      <c r="C33" s="26">
        <v>29</v>
      </c>
      <c r="D33" s="28" t="s">
        <v>42</v>
      </c>
    </row>
    <row r="34" spans="1:4" x14ac:dyDescent="0.3">
      <c r="A34" s="26">
        <v>30</v>
      </c>
      <c r="B34" s="28" t="s">
        <v>36</v>
      </c>
      <c r="C34" s="26">
        <v>30</v>
      </c>
      <c r="D34" s="28" t="s">
        <v>43</v>
      </c>
    </row>
    <row r="35" spans="1:4" x14ac:dyDescent="0.3">
      <c r="A35" s="26">
        <v>31</v>
      </c>
      <c r="B35" s="29" t="s">
        <v>157</v>
      </c>
      <c r="C35" s="26">
        <v>31</v>
      </c>
      <c r="D35" s="29" t="s">
        <v>44</v>
      </c>
    </row>
    <row r="36" spans="1:4" x14ac:dyDescent="0.3">
      <c r="A36" s="26">
        <v>32</v>
      </c>
      <c r="B36" s="28" t="s">
        <v>37</v>
      </c>
      <c r="C36" s="26">
        <v>32</v>
      </c>
      <c r="D36" s="29" t="s">
        <v>50</v>
      </c>
    </row>
    <row r="37" spans="1:4" x14ac:dyDescent="0.3">
      <c r="A37" s="26">
        <v>33</v>
      </c>
      <c r="B37" s="28" t="s">
        <v>38</v>
      </c>
      <c r="C37" s="26">
        <v>33</v>
      </c>
      <c r="D37" s="29" t="s">
        <v>45</v>
      </c>
    </row>
    <row r="38" spans="1:4" x14ac:dyDescent="0.3">
      <c r="A38" s="26">
        <v>34</v>
      </c>
      <c r="B38" s="29" t="s">
        <v>48</v>
      </c>
      <c r="C38" s="26">
        <v>34</v>
      </c>
      <c r="D38" s="28" t="s">
        <v>47</v>
      </c>
    </row>
    <row r="39" spans="1:4" x14ac:dyDescent="0.3">
      <c r="A39" s="26">
        <v>35</v>
      </c>
      <c r="B39" s="29" t="s">
        <v>49</v>
      </c>
      <c r="C39" s="26">
        <v>35</v>
      </c>
      <c r="D39" s="28" t="s">
        <v>46</v>
      </c>
    </row>
    <row r="41" spans="1:4" x14ac:dyDescent="0.3">
      <c r="A41" s="16" t="s">
        <v>158</v>
      </c>
      <c r="B41" s="17"/>
      <c r="C41" s="17"/>
      <c r="D41" s="17"/>
    </row>
  </sheetData>
  <mergeCells count="3">
    <mergeCell ref="A1:D1"/>
    <mergeCell ref="A2:D2"/>
    <mergeCell ref="A41:D4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26E2-03AF-674E-9C5B-D2DB200AEA8E}">
  <dimension ref="A1:H33"/>
  <sheetViews>
    <sheetView topLeftCell="A18" workbookViewId="0">
      <selection activeCell="A33" sqref="A33:D33"/>
    </sheetView>
  </sheetViews>
  <sheetFormatPr defaultRowHeight="15.6" x14ac:dyDescent="0.3"/>
  <cols>
    <col min="1" max="1" width="23.3984375" customWidth="1"/>
    <col min="2" max="4" width="16.19921875" customWidth="1"/>
  </cols>
  <sheetData>
    <row r="1" spans="1:8" ht="17.399999999999999" x14ac:dyDescent="0.3">
      <c r="A1" s="22" t="s">
        <v>59</v>
      </c>
      <c r="B1" s="17"/>
      <c r="C1" s="17"/>
      <c r="D1" s="17"/>
      <c r="E1" s="17"/>
      <c r="F1" s="17"/>
      <c r="G1" s="17"/>
      <c r="H1" s="17"/>
    </row>
    <row r="2" spans="1:8" x14ac:dyDescent="0.3">
      <c r="A2" s="23" t="s">
        <v>60</v>
      </c>
      <c r="B2" s="17"/>
      <c r="C2" s="17"/>
      <c r="D2" s="17"/>
      <c r="E2" s="17"/>
      <c r="F2" s="17"/>
      <c r="G2" s="17"/>
      <c r="H2" s="17"/>
    </row>
    <row r="4" spans="1:8" ht="16.2" thickBot="1" x14ac:dyDescent="0.35">
      <c r="A4" s="16" t="s">
        <v>61</v>
      </c>
      <c r="B4" s="17"/>
      <c r="C4" s="17"/>
      <c r="D4" s="17"/>
    </row>
    <row r="5" spans="1:8" ht="16.2" thickBot="1" x14ac:dyDescent="0.35">
      <c r="A5" s="1" t="s">
        <v>62</v>
      </c>
      <c r="B5" s="1" t="s">
        <v>63</v>
      </c>
      <c r="C5" s="1" t="s">
        <v>64</v>
      </c>
      <c r="D5" s="1" t="s">
        <v>65</v>
      </c>
    </row>
    <row r="6" spans="1:8" x14ac:dyDescent="0.3">
      <c r="A6" s="2" t="s">
        <v>66</v>
      </c>
      <c r="B6" s="3" t="s">
        <v>95</v>
      </c>
      <c r="C6" s="4">
        <v>2.5</v>
      </c>
      <c r="D6" s="5">
        <f>C6*80</f>
        <v>200</v>
      </c>
    </row>
    <row r="7" spans="1:8" x14ac:dyDescent="0.3">
      <c r="A7" s="6" t="s">
        <v>67</v>
      </c>
      <c r="B7" s="7" t="s">
        <v>68</v>
      </c>
      <c r="C7" s="8">
        <v>9.9</v>
      </c>
      <c r="D7" s="9">
        <f>C7*20</f>
        <v>198</v>
      </c>
    </row>
    <row r="8" spans="1:8" x14ac:dyDescent="0.3">
      <c r="A8" s="2" t="s">
        <v>69</v>
      </c>
      <c r="B8" s="3" t="s">
        <v>70</v>
      </c>
      <c r="C8" s="4">
        <v>6.5</v>
      </c>
      <c r="D8" s="5">
        <f>C8*15</f>
        <v>97.5</v>
      </c>
    </row>
    <row r="9" spans="1:8" x14ac:dyDescent="0.3">
      <c r="A9" s="6" t="s">
        <v>71</v>
      </c>
      <c r="B9" s="7" t="s">
        <v>72</v>
      </c>
      <c r="C9" s="8">
        <v>4.5</v>
      </c>
      <c r="D9" s="9">
        <f>C9*120</f>
        <v>540</v>
      </c>
    </row>
    <row r="10" spans="1:8" ht="16.2" thickBot="1" x14ac:dyDescent="0.35">
      <c r="A10" s="2" t="s">
        <v>73</v>
      </c>
      <c r="B10" s="3" t="s">
        <v>96</v>
      </c>
      <c r="C10" s="4">
        <v>85</v>
      </c>
      <c r="D10" s="5">
        <f>C10*2</f>
        <v>170</v>
      </c>
    </row>
    <row r="11" spans="1:8" ht="16.2" thickBot="1" x14ac:dyDescent="0.35">
      <c r="A11" s="18" t="s">
        <v>74</v>
      </c>
      <c r="B11" s="19"/>
      <c r="C11" s="19"/>
      <c r="D11" s="10">
        <f>SUM(D6:D10)</f>
        <v>1205.5</v>
      </c>
    </row>
    <row r="13" spans="1:8" ht="16.2" thickBot="1" x14ac:dyDescent="0.35">
      <c r="A13" s="16" t="s">
        <v>75</v>
      </c>
      <c r="B13" s="17"/>
      <c r="C13" s="17"/>
      <c r="D13" s="17"/>
    </row>
    <row r="14" spans="1:8" ht="16.2" thickBot="1" x14ac:dyDescent="0.35">
      <c r="A14" s="1" t="s">
        <v>62</v>
      </c>
      <c r="B14" s="1" t="s">
        <v>63</v>
      </c>
      <c r="C14" s="1" t="s">
        <v>64</v>
      </c>
      <c r="D14" s="1" t="s">
        <v>65</v>
      </c>
    </row>
    <row r="15" spans="1:8" x14ac:dyDescent="0.3">
      <c r="A15" s="2" t="s">
        <v>53</v>
      </c>
      <c r="B15" s="3" t="s">
        <v>76</v>
      </c>
      <c r="C15" s="4">
        <v>2.8</v>
      </c>
      <c r="D15" s="5">
        <f>C15*160</f>
        <v>448</v>
      </c>
    </row>
    <row r="16" spans="1:8" x14ac:dyDescent="0.3">
      <c r="A16" s="6" t="s">
        <v>77</v>
      </c>
      <c r="B16" s="7" t="s">
        <v>78</v>
      </c>
      <c r="C16" s="8">
        <v>2.5</v>
      </c>
      <c r="D16" s="9">
        <f>C16*120</f>
        <v>300</v>
      </c>
    </row>
    <row r="17" spans="1:4" x14ac:dyDescent="0.3">
      <c r="A17" s="2" t="s">
        <v>79</v>
      </c>
      <c r="B17" s="3" t="s">
        <v>78</v>
      </c>
      <c r="C17" s="4">
        <v>2.5</v>
      </c>
      <c r="D17" s="5">
        <f>C17*120</f>
        <v>300</v>
      </c>
    </row>
    <row r="18" spans="1:4" x14ac:dyDescent="0.3">
      <c r="A18" s="6" t="s">
        <v>54</v>
      </c>
      <c r="B18" s="7" t="s">
        <v>78</v>
      </c>
      <c r="C18" s="8">
        <v>2.5</v>
      </c>
      <c r="D18" s="9">
        <f>C18*120</f>
        <v>300</v>
      </c>
    </row>
    <row r="19" spans="1:4" x14ac:dyDescent="0.3">
      <c r="A19" s="2" t="s">
        <v>55</v>
      </c>
      <c r="B19" s="3" t="s">
        <v>78</v>
      </c>
      <c r="C19" s="4">
        <v>2.5</v>
      </c>
      <c r="D19" s="5">
        <f>C19*120</f>
        <v>300</v>
      </c>
    </row>
    <row r="20" spans="1:4" x14ac:dyDescent="0.3">
      <c r="A20" s="6" t="s">
        <v>56</v>
      </c>
      <c r="B20" s="7" t="s">
        <v>80</v>
      </c>
      <c r="C20" s="8">
        <v>6.5</v>
      </c>
      <c r="D20" s="9">
        <f>C20*8</f>
        <v>52</v>
      </c>
    </row>
    <row r="21" spans="1:4" x14ac:dyDescent="0.3">
      <c r="A21" s="2" t="s">
        <v>57</v>
      </c>
      <c r="B21" s="3" t="s">
        <v>81</v>
      </c>
      <c r="C21" s="4">
        <v>8</v>
      </c>
      <c r="D21" s="5">
        <f>C21*4</f>
        <v>32</v>
      </c>
    </row>
    <row r="22" spans="1:4" x14ac:dyDescent="0.3">
      <c r="A22" s="6" t="s">
        <v>58</v>
      </c>
      <c r="B22" s="7" t="s">
        <v>81</v>
      </c>
      <c r="C22" s="8">
        <v>12</v>
      </c>
      <c r="D22" s="9">
        <f>C22*4</f>
        <v>48</v>
      </c>
    </row>
    <row r="23" spans="1:4" x14ac:dyDescent="0.3">
      <c r="A23" s="2" t="s">
        <v>82</v>
      </c>
      <c r="B23" s="3" t="s">
        <v>83</v>
      </c>
      <c r="C23" s="4">
        <v>65</v>
      </c>
      <c r="D23" s="5">
        <f>C23*12</f>
        <v>780</v>
      </c>
    </row>
    <row r="24" spans="1:4" x14ac:dyDescent="0.3">
      <c r="A24" s="6" t="s">
        <v>84</v>
      </c>
      <c r="B24" s="7" t="s">
        <v>80</v>
      </c>
      <c r="C24" s="8">
        <v>28</v>
      </c>
      <c r="D24" s="9">
        <f>C24*8</f>
        <v>224</v>
      </c>
    </row>
    <row r="25" spans="1:4" x14ac:dyDescent="0.3">
      <c r="A25" s="2" t="s">
        <v>85</v>
      </c>
      <c r="B25" s="3" t="s">
        <v>86</v>
      </c>
      <c r="C25" s="4">
        <v>18</v>
      </c>
      <c r="D25" s="5">
        <f>C25*10</f>
        <v>180</v>
      </c>
    </row>
    <row r="26" spans="1:4" x14ac:dyDescent="0.3">
      <c r="A26" s="6" t="s">
        <v>87</v>
      </c>
      <c r="B26" s="7" t="s">
        <v>81</v>
      </c>
      <c r="C26" s="8">
        <v>55</v>
      </c>
      <c r="D26" s="9">
        <f>C26*4</f>
        <v>220</v>
      </c>
    </row>
    <row r="27" spans="1:4" x14ac:dyDescent="0.3">
      <c r="A27" s="2" t="s">
        <v>88</v>
      </c>
      <c r="B27" s="3" t="s">
        <v>89</v>
      </c>
      <c r="C27" s="4">
        <v>1.5</v>
      </c>
      <c r="D27" s="5">
        <f>C27*80</f>
        <v>120</v>
      </c>
    </row>
    <row r="28" spans="1:4" ht="16.2" thickBot="1" x14ac:dyDescent="0.35">
      <c r="A28" s="6" t="s">
        <v>90</v>
      </c>
      <c r="B28" s="7" t="s">
        <v>91</v>
      </c>
      <c r="C28" s="8">
        <v>38</v>
      </c>
      <c r="D28" s="9">
        <f>C28*6</f>
        <v>228</v>
      </c>
    </row>
    <row r="29" spans="1:4" ht="16.2" thickBot="1" x14ac:dyDescent="0.35">
      <c r="A29" s="18" t="s">
        <v>92</v>
      </c>
      <c r="B29" s="19"/>
      <c r="C29" s="19"/>
      <c r="D29" s="10">
        <f>SUM(D15:D28)</f>
        <v>3532</v>
      </c>
    </row>
    <row r="31" spans="1:4" ht="17.399999999999999" thickBot="1" x14ac:dyDescent="0.35">
      <c r="A31" s="20" t="s">
        <v>93</v>
      </c>
      <c r="B31" s="19"/>
      <c r="C31" s="19"/>
      <c r="D31" s="11">
        <f>D11+D29</f>
        <v>4737.5</v>
      </c>
    </row>
    <row r="33" spans="1:4" x14ac:dyDescent="0.3">
      <c r="A33" s="21" t="s">
        <v>94</v>
      </c>
      <c r="B33" s="17"/>
      <c r="C33" s="17"/>
      <c r="D33" s="17"/>
    </row>
  </sheetData>
  <mergeCells count="8">
    <mergeCell ref="A31:C31"/>
    <mergeCell ref="A33:D33"/>
    <mergeCell ref="A1:H1"/>
    <mergeCell ref="A2:H2"/>
    <mergeCell ref="A4:D4"/>
    <mergeCell ref="A11:C11"/>
    <mergeCell ref="A13:D13"/>
    <mergeCell ref="A29:C29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3D61-51E2-4B06-8740-64F1C2EED82F}">
  <dimension ref="A1:E57"/>
  <sheetViews>
    <sheetView topLeftCell="A3" workbookViewId="0">
      <selection activeCell="E55" sqref="E55"/>
    </sheetView>
  </sheetViews>
  <sheetFormatPr defaultRowHeight="15.6" x14ac:dyDescent="0.3"/>
  <cols>
    <col min="1" max="1" width="34.19921875" customWidth="1"/>
    <col min="2" max="2" width="7.19921875" customWidth="1"/>
    <col min="3" max="3" width="12.59765625" customWidth="1"/>
    <col min="4" max="5" width="16.19921875" customWidth="1"/>
  </cols>
  <sheetData>
    <row r="1" spans="1:5" ht="31.95" customHeight="1" x14ac:dyDescent="0.3">
      <c r="A1" s="22" t="s">
        <v>97</v>
      </c>
      <c r="B1" s="17"/>
      <c r="C1" s="17"/>
      <c r="D1" s="17"/>
      <c r="E1" s="17"/>
    </row>
    <row r="2" spans="1:5" ht="15" customHeight="1" x14ac:dyDescent="0.3">
      <c r="A2" s="23" t="s">
        <v>98</v>
      </c>
      <c r="B2" s="17"/>
      <c r="C2" s="17"/>
      <c r="D2" s="17"/>
      <c r="E2" s="17"/>
    </row>
    <row r="3" spans="1:5" ht="7.95" customHeight="1" x14ac:dyDescent="0.3"/>
    <row r="4" spans="1:5" ht="22.05" customHeight="1" thickBot="1" x14ac:dyDescent="0.35">
      <c r="A4" s="16" t="s">
        <v>99</v>
      </c>
      <c r="B4" s="17"/>
      <c r="C4" s="17"/>
      <c r="D4" s="17"/>
      <c r="E4" s="17"/>
    </row>
    <row r="5" spans="1:5" ht="16.95" customHeight="1" thickBot="1" x14ac:dyDescent="0.35">
      <c r="A5" s="1" t="s">
        <v>62</v>
      </c>
      <c r="B5" s="1" t="s">
        <v>52</v>
      </c>
      <c r="C5" s="1" t="s">
        <v>100</v>
      </c>
      <c r="D5" s="1" t="s">
        <v>64</v>
      </c>
      <c r="E5" s="1" t="s">
        <v>65</v>
      </c>
    </row>
    <row r="6" spans="1:5" ht="16.95" customHeight="1" x14ac:dyDescent="0.3">
      <c r="A6" s="12" t="s">
        <v>101</v>
      </c>
      <c r="B6" s="13">
        <v>160</v>
      </c>
      <c r="C6" s="13" t="s">
        <v>102</v>
      </c>
      <c r="D6" s="4">
        <v>0.35</v>
      </c>
      <c r="E6" s="5">
        <f t="shared" ref="E6:E18" si="0">B6*D6</f>
        <v>56</v>
      </c>
    </row>
    <row r="7" spans="1:5" ht="16.95" customHeight="1" x14ac:dyDescent="0.3">
      <c r="A7" s="14" t="s">
        <v>103</v>
      </c>
      <c r="B7" s="15">
        <v>160</v>
      </c>
      <c r="C7" s="15" t="s">
        <v>102</v>
      </c>
      <c r="D7" s="8">
        <v>0.25</v>
      </c>
      <c r="E7" s="9">
        <f t="shared" si="0"/>
        <v>40</v>
      </c>
    </row>
    <row r="8" spans="1:5" ht="16.95" customHeight="1" x14ac:dyDescent="0.3">
      <c r="A8" s="12" t="s">
        <v>104</v>
      </c>
      <c r="B8" s="13">
        <v>300</v>
      </c>
      <c r="C8" s="13" t="s">
        <v>102</v>
      </c>
      <c r="D8" s="4">
        <v>0.15</v>
      </c>
      <c r="E8" s="5">
        <f t="shared" si="0"/>
        <v>45</v>
      </c>
    </row>
    <row r="9" spans="1:5" ht="16.95" customHeight="1" x14ac:dyDescent="0.3">
      <c r="A9" s="14" t="s">
        <v>105</v>
      </c>
      <c r="B9" s="15">
        <v>100</v>
      </c>
      <c r="C9" s="15" t="s">
        <v>102</v>
      </c>
      <c r="D9" s="8">
        <v>0.08</v>
      </c>
      <c r="E9" s="9">
        <f t="shared" si="0"/>
        <v>8</v>
      </c>
    </row>
    <row r="10" spans="1:5" ht="16.95" customHeight="1" x14ac:dyDescent="0.3">
      <c r="A10" s="12" t="s">
        <v>106</v>
      </c>
      <c r="B10" s="13">
        <v>200</v>
      </c>
      <c r="C10" s="13" t="s">
        <v>102</v>
      </c>
      <c r="D10" s="4">
        <v>0.15</v>
      </c>
      <c r="E10" s="5">
        <f t="shared" si="0"/>
        <v>30</v>
      </c>
    </row>
    <row r="11" spans="1:5" ht="16.95" customHeight="1" x14ac:dyDescent="0.3">
      <c r="A11" s="14" t="s">
        <v>107</v>
      </c>
      <c r="B11" s="15">
        <v>160</v>
      </c>
      <c r="C11" s="15" t="s">
        <v>102</v>
      </c>
      <c r="D11" s="8">
        <v>0.18</v>
      </c>
      <c r="E11" s="9">
        <f t="shared" si="0"/>
        <v>28.799999999999997</v>
      </c>
    </row>
    <row r="12" spans="1:5" ht="16.95" customHeight="1" x14ac:dyDescent="0.3">
      <c r="A12" s="12" t="s">
        <v>108</v>
      </c>
      <c r="B12" s="13">
        <v>160</v>
      </c>
      <c r="C12" s="13" t="s">
        <v>102</v>
      </c>
      <c r="D12" s="4">
        <v>0.15</v>
      </c>
      <c r="E12" s="5">
        <f t="shared" si="0"/>
        <v>24</v>
      </c>
    </row>
    <row r="13" spans="1:5" ht="16.95" customHeight="1" x14ac:dyDescent="0.3">
      <c r="A13" s="14" t="s">
        <v>109</v>
      </c>
      <c r="B13" s="15">
        <v>10</v>
      </c>
      <c r="C13" s="15" t="s">
        <v>110</v>
      </c>
      <c r="D13" s="8">
        <v>5.5</v>
      </c>
      <c r="E13" s="9">
        <f t="shared" si="0"/>
        <v>55</v>
      </c>
    </row>
    <row r="14" spans="1:5" ht="16.95" customHeight="1" x14ac:dyDescent="0.3">
      <c r="A14" s="12" t="s">
        <v>111</v>
      </c>
      <c r="B14" s="13">
        <v>20</v>
      </c>
      <c r="C14" s="13" t="s">
        <v>112</v>
      </c>
      <c r="D14" s="4">
        <v>1.8</v>
      </c>
      <c r="E14" s="5">
        <f t="shared" si="0"/>
        <v>36</v>
      </c>
    </row>
    <row r="15" spans="1:5" ht="16.95" customHeight="1" x14ac:dyDescent="0.3">
      <c r="A15" s="14" t="s">
        <v>113</v>
      </c>
      <c r="B15" s="15">
        <v>6</v>
      </c>
      <c r="C15" s="15" t="s">
        <v>112</v>
      </c>
      <c r="D15" s="8">
        <v>5.9</v>
      </c>
      <c r="E15" s="9">
        <f t="shared" si="0"/>
        <v>35.400000000000006</v>
      </c>
    </row>
    <row r="16" spans="1:5" ht="16.95" customHeight="1" x14ac:dyDescent="0.3">
      <c r="A16" s="12" t="s">
        <v>114</v>
      </c>
      <c r="B16" s="13">
        <v>4</v>
      </c>
      <c r="C16" s="13" t="s">
        <v>110</v>
      </c>
      <c r="D16" s="4">
        <v>12.9</v>
      </c>
      <c r="E16" s="5">
        <f t="shared" si="0"/>
        <v>51.6</v>
      </c>
    </row>
    <row r="17" spans="1:5" ht="16.95" customHeight="1" x14ac:dyDescent="0.3">
      <c r="A17" s="14" t="s">
        <v>115</v>
      </c>
      <c r="B17" s="15">
        <v>3</v>
      </c>
      <c r="C17" s="15" t="s">
        <v>110</v>
      </c>
      <c r="D17" s="8">
        <v>7.5</v>
      </c>
      <c r="E17" s="9">
        <f t="shared" si="0"/>
        <v>22.5</v>
      </c>
    </row>
    <row r="18" spans="1:5" ht="16.95" customHeight="1" thickBot="1" x14ac:dyDescent="0.35">
      <c r="A18" s="12" t="s">
        <v>116</v>
      </c>
      <c r="B18" s="13">
        <v>5</v>
      </c>
      <c r="C18" s="13" t="s">
        <v>110</v>
      </c>
      <c r="D18" s="4">
        <v>8.9</v>
      </c>
      <c r="E18" s="5">
        <f t="shared" si="0"/>
        <v>44.5</v>
      </c>
    </row>
    <row r="19" spans="1:5" ht="19.05" customHeight="1" thickBot="1" x14ac:dyDescent="0.35">
      <c r="A19" s="18" t="s">
        <v>117</v>
      </c>
      <c r="B19" s="19"/>
      <c r="C19" s="19"/>
      <c r="D19" s="19"/>
      <c r="E19" s="10">
        <f>SUM(E6:E18)</f>
        <v>476.80000000000007</v>
      </c>
    </row>
    <row r="21" spans="1:5" ht="22.05" customHeight="1" thickBot="1" x14ac:dyDescent="0.35">
      <c r="A21" s="16" t="s">
        <v>118</v>
      </c>
      <c r="B21" s="17"/>
      <c r="C21" s="17"/>
      <c r="D21" s="17"/>
      <c r="E21" s="17"/>
    </row>
    <row r="22" spans="1:5" ht="16.95" customHeight="1" thickBot="1" x14ac:dyDescent="0.35">
      <c r="A22" s="1" t="s">
        <v>62</v>
      </c>
      <c r="B22" s="1" t="s">
        <v>52</v>
      </c>
      <c r="C22" s="1" t="s">
        <v>100</v>
      </c>
      <c r="D22" s="1" t="s">
        <v>64</v>
      </c>
      <c r="E22" s="1" t="s">
        <v>65</v>
      </c>
    </row>
    <row r="23" spans="1:5" ht="16.95" customHeight="1" x14ac:dyDescent="0.3">
      <c r="A23" s="12" t="s">
        <v>119</v>
      </c>
      <c r="B23" s="13">
        <v>1</v>
      </c>
      <c r="C23" s="13" t="s">
        <v>102</v>
      </c>
      <c r="D23" s="4">
        <v>3.5</v>
      </c>
      <c r="E23" s="5">
        <f t="shared" ref="E23:E26" si="1">B23*D23</f>
        <v>3.5</v>
      </c>
    </row>
    <row r="24" spans="1:5" ht="16.95" customHeight="1" x14ac:dyDescent="0.3">
      <c r="A24" s="14" t="s">
        <v>120</v>
      </c>
      <c r="B24" s="15">
        <v>2</v>
      </c>
      <c r="C24" s="15" t="s">
        <v>102</v>
      </c>
      <c r="D24" s="8">
        <v>2</v>
      </c>
      <c r="E24" s="9">
        <f t="shared" si="1"/>
        <v>4</v>
      </c>
    </row>
    <row r="25" spans="1:5" ht="16.95" customHeight="1" x14ac:dyDescent="0.3">
      <c r="A25" s="12" t="s">
        <v>121</v>
      </c>
      <c r="B25" s="13">
        <v>2</v>
      </c>
      <c r="C25" s="13" t="s">
        <v>102</v>
      </c>
      <c r="D25" s="4">
        <v>9.9</v>
      </c>
      <c r="E25" s="5">
        <f t="shared" si="1"/>
        <v>19.8</v>
      </c>
    </row>
    <row r="26" spans="1:5" ht="16.95" customHeight="1" x14ac:dyDescent="0.3">
      <c r="A26" s="14" t="s">
        <v>122</v>
      </c>
      <c r="B26" s="15">
        <v>2</v>
      </c>
      <c r="C26" s="15" t="s">
        <v>102</v>
      </c>
      <c r="D26" s="8">
        <v>6.5</v>
      </c>
      <c r="E26" s="9">
        <f t="shared" si="1"/>
        <v>13</v>
      </c>
    </row>
    <row r="27" spans="1:5" ht="16.95" customHeight="1" x14ac:dyDescent="0.3">
      <c r="A27" s="12"/>
      <c r="B27" s="13"/>
      <c r="C27" s="13"/>
      <c r="D27" s="4"/>
      <c r="E27" s="5"/>
    </row>
    <row r="28" spans="1:5" ht="16.95" customHeight="1" x14ac:dyDescent="0.3">
      <c r="A28" s="14"/>
      <c r="B28" s="15"/>
      <c r="C28" s="15"/>
      <c r="D28" s="8"/>
      <c r="E28" s="9"/>
    </row>
    <row r="29" spans="1:5" ht="16.95" customHeight="1" thickBot="1" x14ac:dyDescent="0.35">
      <c r="A29" s="12"/>
      <c r="B29" s="13"/>
      <c r="C29" s="13"/>
      <c r="D29" s="4"/>
      <c r="E29" s="5"/>
    </row>
    <row r="30" spans="1:5" ht="19.05" customHeight="1" thickBot="1" x14ac:dyDescent="0.35">
      <c r="A30" s="18" t="s">
        <v>117</v>
      </c>
      <c r="B30" s="19"/>
      <c r="C30" s="19"/>
      <c r="D30" s="19"/>
      <c r="E30" s="10">
        <f>SUM(E23:E29)</f>
        <v>40.299999999999997</v>
      </c>
    </row>
    <row r="32" spans="1:5" ht="22.05" customHeight="1" thickBot="1" x14ac:dyDescent="0.35">
      <c r="A32" s="16" t="s">
        <v>123</v>
      </c>
      <c r="B32" s="17"/>
      <c r="C32" s="17"/>
      <c r="D32" s="17"/>
      <c r="E32" s="17"/>
    </row>
    <row r="33" spans="1:5" ht="16.95" customHeight="1" thickBot="1" x14ac:dyDescent="0.35">
      <c r="A33" s="1" t="s">
        <v>62</v>
      </c>
      <c r="B33" s="1" t="s">
        <v>52</v>
      </c>
      <c r="C33" s="1" t="s">
        <v>100</v>
      </c>
      <c r="D33" s="1" t="s">
        <v>64</v>
      </c>
      <c r="E33" s="1" t="s">
        <v>65</v>
      </c>
    </row>
    <row r="34" spans="1:5" ht="16.95" customHeight="1" x14ac:dyDescent="0.3">
      <c r="A34" s="12" t="s">
        <v>124</v>
      </c>
      <c r="B34" s="13">
        <v>4</v>
      </c>
      <c r="C34" s="13" t="s">
        <v>125</v>
      </c>
      <c r="D34" s="4">
        <v>22.9</v>
      </c>
      <c r="E34" s="5">
        <f t="shared" ref="E34" si="2">B34*D34</f>
        <v>91.6</v>
      </c>
    </row>
    <row r="35" spans="1:5" ht="16.95" customHeight="1" x14ac:dyDescent="0.3">
      <c r="A35" s="12" t="s">
        <v>126</v>
      </c>
      <c r="B35" s="13">
        <v>2</v>
      </c>
      <c r="C35" s="13" t="s">
        <v>127</v>
      </c>
      <c r="D35" s="4">
        <v>4.5</v>
      </c>
      <c r="E35" s="5">
        <f>B35*D35</f>
        <v>9</v>
      </c>
    </row>
    <row r="36" spans="1:5" ht="16.95" customHeight="1" x14ac:dyDescent="0.3">
      <c r="A36" s="14" t="s">
        <v>128</v>
      </c>
      <c r="B36" s="15">
        <v>3</v>
      </c>
      <c r="C36" s="15" t="s">
        <v>129</v>
      </c>
      <c r="D36" s="8">
        <v>3.5</v>
      </c>
      <c r="E36" s="9">
        <f>B36*D36</f>
        <v>10.5</v>
      </c>
    </row>
    <row r="37" spans="1:5" ht="16.95" customHeight="1" x14ac:dyDescent="0.3">
      <c r="A37" s="12" t="s">
        <v>130</v>
      </c>
      <c r="B37" s="13">
        <v>10</v>
      </c>
      <c r="C37" s="13" t="s">
        <v>102</v>
      </c>
      <c r="D37" s="4">
        <v>3.5</v>
      </c>
      <c r="E37" s="5">
        <f>B37*D37</f>
        <v>35</v>
      </c>
    </row>
    <row r="38" spans="1:5" ht="16.95" customHeight="1" x14ac:dyDescent="0.3">
      <c r="A38" s="14" t="s">
        <v>131</v>
      </c>
      <c r="B38" s="15">
        <v>2</v>
      </c>
      <c r="C38" s="15" t="s">
        <v>102</v>
      </c>
      <c r="D38" s="8">
        <v>29.9</v>
      </c>
      <c r="E38" s="9">
        <f>B38*D38</f>
        <v>59.8</v>
      </c>
    </row>
    <row r="39" spans="1:5" ht="16.95" customHeight="1" x14ac:dyDescent="0.3"/>
    <row r="40" spans="1:5" ht="16.95" customHeight="1" x14ac:dyDescent="0.3">
      <c r="A40" s="12"/>
      <c r="B40" s="13"/>
      <c r="C40" s="13"/>
      <c r="D40" s="4"/>
      <c r="E40" s="5"/>
    </row>
    <row r="41" spans="1:5" ht="16.95" customHeight="1" thickBot="1" x14ac:dyDescent="0.35"/>
    <row r="42" spans="1:5" ht="19.05" customHeight="1" thickBot="1" x14ac:dyDescent="0.35">
      <c r="A42" s="18" t="s">
        <v>117</v>
      </c>
      <c r="B42" s="19"/>
      <c r="C42" s="19"/>
      <c r="D42" s="19"/>
      <c r="E42" s="10">
        <f>SUM(E34:E40)</f>
        <v>205.89999999999998</v>
      </c>
    </row>
    <row r="44" spans="1:5" ht="22.05" customHeight="1" thickBot="1" x14ac:dyDescent="0.35">
      <c r="A44" s="16" t="s">
        <v>132</v>
      </c>
      <c r="B44" s="17"/>
      <c r="C44" s="17"/>
      <c r="D44" s="17"/>
      <c r="E44" s="17"/>
    </row>
    <row r="45" spans="1:5" ht="16.95" customHeight="1" thickBot="1" x14ac:dyDescent="0.35">
      <c r="A45" s="1" t="s">
        <v>62</v>
      </c>
      <c r="B45" s="1" t="s">
        <v>52</v>
      </c>
      <c r="C45" s="1" t="s">
        <v>100</v>
      </c>
      <c r="D45" s="1" t="s">
        <v>64</v>
      </c>
      <c r="E45" s="1" t="s">
        <v>65</v>
      </c>
    </row>
    <row r="46" spans="1:5" ht="16.95" customHeight="1" x14ac:dyDescent="0.3">
      <c r="A46" s="14" t="s">
        <v>133</v>
      </c>
      <c r="B46" s="15">
        <v>3</v>
      </c>
      <c r="C46" s="15" t="s">
        <v>102</v>
      </c>
      <c r="D46" s="8">
        <v>19.899999999999999</v>
      </c>
      <c r="E46" s="9">
        <f>B46*D46</f>
        <v>59.699999999999996</v>
      </c>
    </row>
    <row r="47" spans="1:5" ht="16.95" customHeight="1" x14ac:dyDescent="0.3">
      <c r="A47" s="12"/>
      <c r="B47" s="13"/>
      <c r="C47" s="13"/>
      <c r="D47" s="4"/>
      <c r="E47" s="5"/>
    </row>
    <row r="48" spans="1:5" ht="16.95" customHeight="1" x14ac:dyDescent="0.3"/>
    <row r="49" spans="1:5" ht="16.95" customHeight="1" x14ac:dyDescent="0.3">
      <c r="A49" s="14"/>
      <c r="B49" s="15"/>
      <c r="C49" s="15"/>
      <c r="D49" s="8"/>
      <c r="E49" s="9"/>
    </row>
    <row r="50" spans="1:5" ht="16.95" customHeight="1" x14ac:dyDescent="0.3">
      <c r="A50" s="12"/>
      <c r="B50" s="13"/>
      <c r="C50" s="13"/>
      <c r="D50" s="4"/>
      <c r="E50" s="5"/>
    </row>
    <row r="51" spans="1:5" ht="16.95" customHeight="1" x14ac:dyDescent="0.3">
      <c r="A51" s="14"/>
      <c r="B51" s="15"/>
      <c r="C51" s="15"/>
      <c r="D51" s="8"/>
      <c r="E51" s="9"/>
    </row>
    <row r="52" spans="1:5" ht="16.95" customHeight="1" thickBot="1" x14ac:dyDescent="0.35">
      <c r="A52" s="12"/>
      <c r="B52" s="13"/>
      <c r="C52" s="13"/>
      <c r="D52" s="4"/>
      <c r="E52" s="5"/>
    </row>
    <row r="53" spans="1:5" ht="19.05" customHeight="1" thickBot="1" x14ac:dyDescent="0.35">
      <c r="A53" s="18" t="s">
        <v>117</v>
      </c>
      <c r="B53" s="19"/>
      <c r="C53" s="19"/>
      <c r="D53" s="19"/>
      <c r="E53" s="10">
        <f>SUM(E46:E52)</f>
        <v>59.699999999999996</v>
      </c>
    </row>
    <row r="55" spans="1:5" ht="28.05" customHeight="1" thickBot="1" x14ac:dyDescent="0.35">
      <c r="A55" s="20" t="s">
        <v>93</v>
      </c>
      <c r="B55" s="19"/>
      <c r="C55" s="19"/>
      <c r="D55" s="19"/>
      <c r="E55" s="11">
        <f>E19+E30+E42+E53</f>
        <v>782.7</v>
      </c>
    </row>
    <row r="57" spans="1:5" ht="13.05" customHeight="1" x14ac:dyDescent="0.3">
      <c r="A57" s="21" t="s">
        <v>134</v>
      </c>
      <c r="B57" s="17"/>
      <c r="C57" s="17"/>
      <c r="D57" s="17"/>
      <c r="E57" s="17"/>
    </row>
  </sheetData>
  <mergeCells count="12">
    <mergeCell ref="A57:E57"/>
    <mergeCell ref="A1:E1"/>
    <mergeCell ref="A2:E2"/>
    <mergeCell ref="A4:E4"/>
    <mergeCell ref="A19:D19"/>
    <mergeCell ref="A21:E21"/>
    <mergeCell ref="A30:D30"/>
    <mergeCell ref="A32:E32"/>
    <mergeCell ref="A42:D42"/>
    <mergeCell ref="A44:E44"/>
    <mergeCell ref="A53:D53"/>
    <mergeCell ref="A55:D5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Convidados</vt:lpstr>
      <vt:lpstr>Comidas e Bebidas</vt:lpstr>
      <vt:lpstr>Itens gerais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Rodrigues Cosmai</dc:creator>
  <cp:keywords/>
  <dc:description/>
  <cp:lastModifiedBy>Gabriel Cosmai</cp:lastModifiedBy>
  <cp:revision/>
  <dcterms:created xsi:type="dcterms:W3CDTF">2024-02-20T03:48:02Z</dcterms:created>
  <dcterms:modified xsi:type="dcterms:W3CDTF">2026-04-18T02:01:18Z</dcterms:modified>
  <cp:category/>
  <cp:contentStatus/>
</cp:coreProperties>
</file>